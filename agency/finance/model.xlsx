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;-"/>
    <numFmt numFmtId="165" formatCode="0.0%;(0.0%);-"/>
    <numFmt numFmtId="166" formatCode="£#,##0;(£#,##0);-"/>
    <numFmt numFmtId="167" formatCode="£#,##0.00;(£#,##0.00)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color rgb="00555555"/>
    </font>
    <font>
      <name val="Arial"/>
      <i val="1"/>
      <color rgb="00555555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8" fillId="0" borderId="0" pivotButton="0" quotePrefix="0" xfId="0"/>
    <xf numFmtId="166" fontId="8" fillId="0" borderId="0" pivotButton="0" quotePrefix="0" xfId="0"/>
    <xf numFmtId="0" fontId="3" fillId="0" borderId="0" pivotButton="0" quotePrefix="0" xfId="0"/>
    <xf numFmtId="165" fontId="5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0" fontId="7" fillId="0" borderId="0" pivotButton="0" quotePrefix="0" xfId="0"/>
    <xf numFmtId="164" fontId="5" fillId="3" borderId="0" pivotButton="0" quotePrefix="0" xfId="0"/>
    <xf numFmtId="0" fontId="6" fillId="0" borderId="0" pivotButton="0" quotePrefix="0" xfId="0"/>
    <xf numFmtId="164" fontId="5" fillId="0" borderId="0" pivotButton="0" quotePrefix="0" xfId="0"/>
    <xf numFmtId="165" fontId="5" fillId="3" borderId="0" pivotButton="0" quotePrefix="0" xfId="0"/>
    <xf numFmtId="166" fontId="5" fillId="3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3" fillId="2" borderId="0" applyAlignment="1" pivotButton="0" quotePrefix="0" xfId="0">
      <alignment horizontal="center"/>
    </xf>
    <xf numFmtId="164" fontId="3" fillId="0" borderId="0" pivotButton="0" quotePrefix="0" xfId="0"/>
    <xf numFmtId="166" fontId="3" fillId="0" borderId="0" pivotButton="0" quotePrefix="0" xfId="0"/>
    <xf numFmtId="0" fontId="3" fillId="0" borderId="1" pivotButton="0" quotePrefix="0" xfId="0"/>
    <xf numFmtId="166" fontId="4" fillId="0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4" customWidth="1" min="3" max="3"/>
  </cols>
  <sheetData>
    <row r="1">
      <c r="A1" s="1" t="inlineStr">
        <is>
          <t>Second Coat: 12-month summary</t>
        </is>
      </c>
    </row>
    <row r="2">
      <c r="A2" s="2" t="inlineStr">
        <is>
          <t>Change the yellow cells on the Assumptions tab and everything here updates.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Demos built (12 months)</t>
        </is>
      </c>
      <c r="B5" s="5">
        <f>Model!N4</f>
        <v/>
      </c>
    </row>
    <row r="6">
      <c r="A6" s="4" t="inlineStr">
        <is>
          <t>Paid clients (12 months)</t>
        </is>
      </c>
      <c r="B6" s="5">
        <f>Model!N5</f>
        <v/>
      </c>
    </row>
    <row r="7">
      <c r="A7" s="4" t="inlineStr">
        <is>
          <t>Total revenue (12 months)</t>
        </is>
      </c>
      <c r="B7" s="6">
        <f>Model!N14</f>
        <v/>
      </c>
    </row>
    <row r="8">
      <c r="A8" s="4" t="inlineStr">
        <is>
          <t>Total profit (12 months)</t>
        </is>
      </c>
      <c r="B8" s="6">
        <f>Model!N19</f>
        <v/>
      </c>
    </row>
    <row r="9">
      <c r="A9" s="4" t="inlineStr">
        <is>
          <t>Hours worked (12 months)</t>
        </is>
      </c>
      <c r="B9" s="5">
        <f>Model!N21</f>
        <v/>
      </c>
    </row>
    <row r="10">
      <c r="A10" s="4" t="inlineStr">
        <is>
          <t>Effective £ per hour</t>
        </is>
      </c>
      <c r="B10" s="6">
        <f>Model!N22</f>
        <v/>
      </c>
    </row>
    <row r="11">
      <c r="A11" s="4" t="inlineStr">
        <is>
          <t>Care clients at month 12</t>
        </is>
      </c>
      <c r="B11" s="5">
        <f>Model!M12</f>
        <v/>
      </c>
    </row>
    <row r="12">
      <c r="A12" s="4" t="inlineStr">
        <is>
          <t>Monthly recurring revenue at month 12</t>
        </is>
      </c>
      <c r="B12" s="6">
        <f>Model!M23</f>
        <v/>
      </c>
    </row>
    <row r="13">
      <c r="A13" s="4" t="inlineStr">
        <is>
          <t>Recurring revenue run-rate (× 12)</t>
        </is>
      </c>
      <c r="B13" s="6">
        <f>Model!M23*12</f>
        <v/>
      </c>
    </row>
    <row r="14">
      <c r="A14" s="4" t="inlineStr">
        <is>
          <t>Demos needed per paid client</t>
        </is>
      </c>
      <c r="B14" s="5">
        <f>IF(Assumptions!$B$8&gt;0,1/Assumptions!$B$8,0)</f>
        <v/>
      </c>
    </row>
    <row r="17">
      <c r="A17" s="7" t="inlineStr">
        <is>
          <t>Sensitivity: 12-month profit by conversion rate (other assumptions held)</t>
        </is>
      </c>
    </row>
    <row r="18">
      <c r="A18" s="3" t="inlineStr">
        <is>
          <t>Conversion</t>
        </is>
      </c>
      <c r="B18" s="3" t="inlineStr">
        <is>
          <t>Paid clients</t>
        </is>
      </c>
      <c r="C18" s="3" t="inlineStr">
        <is>
          <t>Approx. 12-month project revenue</t>
        </is>
      </c>
    </row>
    <row r="19">
      <c r="A19" s="8" t="n">
        <v>0.05</v>
      </c>
      <c r="B19" s="9">
        <f>Model!N4*A19</f>
        <v/>
      </c>
      <c r="C19" s="10">
        <f>B19*((1-Assumptions!$B$9)*Assumptions!$B$10+Assumptions!$B$9*Assumptions!$B$11)</f>
        <v/>
      </c>
    </row>
    <row r="20">
      <c r="A20" s="8" t="n">
        <v>0.1</v>
      </c>
      <c r="B20" s="9">
        <f>Model!N4*A20</f>
        <v/>
      </c>
      <c r="C20" s="10">
        <f>B20*((1-Assumptions!$B$9)*Assumptions!$B$10+Assumptions!$B$9*Assumptions!$B$11)</f>
        <v/>
      </c>
    </row>
    <row r="21">
      <c r="A21" s="8" t="n">
        <v>0.125</v>
      </c>
      <c r="B21" s="9">
        <f>Model!N4*A21</f>
        <v/>
      </c>
      <c r="C21" s="10">
        <f>B21*((1-Assumptions!$B$9)*Assumptions!$B$10+Assumptions!$B$9*Assumptions!$B$11)</f>
        <v/>
      </c>
    </row>
    <row r="22">
      <c r="A22" s="8" t="n">
        <v>0.2</v>
      </c>
      <c r="B22" s="9">
        <f>Model!N4*A22</f>
        <v/>
      </c>
      <c r="C22" s="10">
        <f>B22*((1-Assumptions!$B$9)*Assumptions!$B$10+Assumptions!$B$9*Assumptions!$B$11)</f>
        <v/>
      </c>
    </row>
    <row r="23">
      <c r="A23" s="8" t="n">
        <v>0.3</v>
      </c>
      <c r="B23" s="9">
        <f>Model!N4*A23</f>
        <v/>
      </c>
      <c r="C23" s="10">
        <f>B23*((1-Assumptions!$B$9)*Assumptions!$B$10+Assumptions!$B$9*Assumptions!$B$11)</f>
        <v/>
      </c>
    </row>
    <row r="25">
      <c r="A25" s="11" t="inlineStr">
        <is>
          <t>The sensitivity table excludes care revenue, so it understates totals. Use it to compare conversion scenarios.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80" customWidth="1" min="3" max="3"/>
  </cols>
  <sheetData>
    <row r="1">
      <c r="A1" s="1" t="inlineStr">
        <is>
          <t>Second Coat: 12-month model, assumptions</t>
        </is>
      </c>
    </row>
    <row r="2">
      <c r="A2" s="2" t="inlineStr">
        <is>
          <t>Edit the blue cells (yellow = the key levers). Every other number in the workbook is a formula.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 / source</t>
        </is>
      </c>
    </row>
    <row r="5">
      <c r="A5" s="4" t="inlineStr">
        <is>
          <t>Demos built per week (month 1)</t>
        </is>
      </c>
      <c r="B5" s="12" t="n">
        <v>4</v>
      </c>
      <c r="C5" s="13" t="inlineStr">
        <is>
          <t>Your call. With build.js about 1–2 hrs each once research is done.</t>
        </is>
      </c>
    </row>
    <row r="6">
      <c r="A6" s="4" t="inlineStr">
        <is>
          <t>Monthly growth in demos built</t>
        </is>
      </c>
      <c r="B6" s="8" t="n">
        <v>0.05</v>
      </c>
      <c r="C6" s="13" t="inlineStr">
        <is>
          <t>Assumption: gets faster as the templates mature.</t>
        </is>
      </c>
    </row>
    <row r="7">
      <c r="A7" s="4" t="inlineStr">
        <is>
          <t>Weeks per month</t>
        </is>
      </c>
      <c r="B7" s="14" t="n">
        <v>4.33</v>
      </c>
      <c r="C7" s="13" t="inlineStr">
        <is>
          <t>52 / 12</t>
        </is>
      </c>
    </row>
    <row r="8">
      <c r="A8" s="4" t="inlineStr">
        <is>
          <t>Demo → paid conversion</t>
        </is>
      </c>
      <c r="B8" s="15" t="n">
        <v>0.125</v>
      </c>
      <c r="C8" s="13" t="inlineStr">
        <is>
          <t>Assumption from PLAN.md: 1 in 8 cold demos. Replace with real data after the first 20 pitches.</t>
        </is>
      </c>
    </row>
    <row r="9">
      <c r="A9" s="4" t="inlineStr">
        <is>
          <t>Share of paid clients choosing Rebrand</t>
        </is>
      </c>
      <c r="B9" s="15" t="n">
        <v>0.25</v>
      </c>
      <c r="C9" s="13" t="inlineStr">
        <is>
          <t>Assumption.</t>
        </is>
      </c>
    </row>
    <row r="10">
      <c r="A10" s="4" t="inlineStr">
        <is>
          <t>Refresh price (£)</t>
        </is>
      </c>
      <c r="B10" s="16" t="n">
        <v>500</v>
      </c>
      <c r="C10" s="13" t="inlineStr">
        <is>
          <t>PLAN.md price.</t>
        </is>
      </c>
    </row>
    <row r="11">
      <c r="A11" s="4" t="inlineStr">
        <is>
          <t>Rebrand price (£)</t>
        </is>
      </c>
      <c r="B11" s="17" t="n">
        <v>1200</v>
      </c>
      <c r="C11" s="13" t="inlineStr">
        <is>
          <t>PLAN.md price.</t>
        </is>
      </c>
    </row>
    <row r="12">
      <c r="A12" s="4" t="inlineStr">
        <is>
          <t>Share of new clients taking the Care plan</t>
        </is>
      </c>
      <c r="B12" s="15" t="n">
        <v>0.5</v>
      </c>
      <c r="C12" s="13" t="inlineStr">
        <is>
          <t>Assumption.</t>
        </is>
      </c>
    </row>
    <row r="13">
      <c r="A13" s="4" t="inlineStr">
        <is>
          <t>Care plan price (£ / month)</t>
        </is>
      </c>
      <c r="B13" s="17" t="n">
        <v>49</v>
      </c>
      <c r="C13" s="13" t="inlineStr">
        <is>
          <t>PLAN.md price.</t>
        </is>
      </c>
    </row>
    <row r="14">
      <c r="A14" s="4" t="inlineStr">
        <is>
          <t>Care plan monthly churn</t>
        </is>
      </c>
      <c r="B14" s="8" t="n">
        <v>0.03</v>
      </c>
      <c r="C14" s="13" t="inlineStr">
        <is>
          <t>Assumption (about 30% lost per year).</t>
        </is>
      </c>
    </row>
    <row r="15">
      <c r="A15" s="4" t="inlineStr">
        <is>
          <t>Hours per demo (research + build + pitch)</t>
        </is>
      </c>
      <c r="B15" s="14" t="n">
        <v>2.5</v>
      </c>
      <c r="C15" s="13" t="inlineStr">
        <is>
          <t>Assumption with the generator pipeline.</t>
        </is>
      </c>
    </row>
    <row r="16">
      <c r="A16" s="4" t="inlineStr">
        <is>
          <t>Hours to deliver a Refresh after payment</t>
        </is>
      </c>
      <c r="B16" s="14" t="n">
        <v>4</v>
      </c>
      <c r="C16" s="13" t="inlineStr">
        <is>
          <t>Intake, edits, go-live checklist.</t>
        </is>
      </c>
    </row>
    <row r="17">
      <c r="A17" s="4" t="inlineStr">
        <is>
          <t>Hours to deliver a Rebrand after payment</t>
        </is>
      </c>
      <c r="B17" s="14" t="n">
        <v>10</v>
      </c>
      <c r="C17" s="13" t="inlineStr">
        <is>
          <t>Assumption.</t>
        </is>
      </c>
    </row>
    <row r="18">
      <c r="A18" s="4" t="inlineStr">
        <is>
          <t>Hours per care client per month</t>
        </is>
      </c>
      <c r="B18" s="14" t="n">
        <v>0.5</v>
      </c>
      <c r="C18" s="13" t="inlineStr">
        <is>
          <t>Monthly update plus the report.</t>
        </is>
      </c>
    </row>
    <row r="19">
      <c r="A19" s="4" t="inlineStr">
        <is>
          <t>Card fee (% of payment)</t>
        </is>
      </c>
      <c r="B19" s="8" t="n">
        <v>0.015</v>
      </c>
      <c r="C19" s="13" t="inlineStr">
        <is>
          <t>Typical UK card rate. Check your provider (e.g. Stripe UK pricing).</t>
        </is>
      </c>
    </row>
    <row r="20">
      <c r="A20" s="4" t="inlineStr">
        <is>
          <t>Card fee (fixed £ per payment)</t>
        </is>
      </c>
      <c r="B20" s="18" t="n">
        <v>0.2</v>
      </c>
      <c r="C20" s="13" t="inlineStr">
        <is>
          <t>Typical UK card rate. Check your provider.</t>
        </is>
      </c>
    </row>
    <row r="21">
      <c r="A21" s="4" t="inlineStr">
        <is>
          <t>Hosting + domain cost per care client (£ / month)</t>
        </is>
      </c>
      <c r="B21" s="18" t="n">
        <v>2</v>
      </c>
      <c r="C21" s="13" t="inlineStr">
        <is>
          <t>Vercel Hobby is free for small static sites, and a domain is about £10–15/yr. Check current pricing.</t>
        </is>
      </c>
    </row>
    <row r="22">
      <c r="A22" s="4" t="inlineStr">
        <is>
          <t>Fixed tools and software (£ / month)</t>
        </is>
      </c>
      <c r="B22" s="17" t="n">
        <v>40</v>
      </c>
      <c r="C22" s="13" t="inlineStr">
        <is>
          <t>Assumption: Places API, email, Stripe,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Monthly projection (£)</t>
        </is>
      </c>
    </row>
    <row r="3">
      <c r="A3" s="3" t="inlineStr">
        <is>
          <t>Line</t>
        </is>
      </c>
      <c r="B3" s="19" t="inlineStr">
        <is>
          <t>M1</t>
        </is>
      </c>
      <c r="C3" s="19" t="inlineStr">
        <is>
          <t>M2</t>
        </is>
      </c>
      <c r="D3" s="19" t="inlineStr">
        <is>
          <t>M3</t>
        </is>
      </c>
      <c r="E3" s="19" t="inlineStr">
        <is>
          <t>M4</t>
        </is>
      </c>
      <c r="F3" s="19" t="inlineStr">
        <is>
          <t>M5</t>
        </is>
      </c>
      <c r="G3" s="19" t="inlineStr">
        <is>
          <t>M6</t>
        </is>
      </c>
      <c r="H3" s="19" t="inlineStr">
        <is>
          <t>M7</t>
        </is>
      </c>
      <c r="I3" s="19" t="inlineStr">
        <is>
          <t>M8</t>
        </is>
      </c>
      <c r="J3" s="19" t="inlineStr">
        <is>
          <t>M9</t>
        </is>
      </c>
      <c r="K3" s="19" t="inlineStr">
        <is>
          <t>M10</t>
        </is>
      </c>
      <c r="L3" s="19" t="inlineStr">
        <is>
          <t>M11</t>
        </is>
      </c>
      <c r="M3" s="19" t="inlineStr">
        <is>
          <t>M12</t>
        </is>
      </c>
      <c r="N3" s="3" t="inlineStr">
        <is>
          <t>Total</t>
        </is>
      </c>
    </row>
    <row r="4">
      <c r="A4" s="4" t="inlineStr">
        <is>
          <t>Demos built</t>
        </is>
      </c>
      <c r="B4" s="9">
        <f>Assumptions!$B$5*Assumptions!$B$7*(1+Assumptions!$B$6)^0</f>
        <v/>
      </c>
      <c r="C4" s="9">
        <f>Assumptions!$B$5*Assumptions!$B$7*(1+Assumptions!$B$6)^1</f>
        <v/>
      </c>
      <c r="D4" s="9">
        <f>Assumptions!$B$5*Assumptions!$B$7*(1+Assumptions!$B$6)^2</f>
        <v/>
      </c>
      <c r="E4" s="9">
        <f>Assumptions!$B$5*Assumptions!$B$7*(1+Assumptions!$B$6)^3</f>
        <v/>
      </c>
      <c r="F4" s="9">
        <f>Assumptions!$B$5*Assumptions!$B$7*(1+Assumptions!$B$6)^4</f>
        <v/>
      </c>
      <c r="G4" s="9">
        <f>Assumptions!$B$5*Assumptions!$B$7*(1+Assumptions!$B$6)^5</f>
        <v/>
      </c>
      <c r="H4" s="9">
        <f>Assumptions!$B$5*Assumptions!$B$7*(1+Assumptions!$B$6)^6</f>
        <v/>
      </c>
      <c r="I4" s="9">
        <f>Assumptions!$B$5*Assumptions!$B$7*(1+Assumptions!$B$6)^7</f>
        <v/>
      </c>
      <c r="J4" s="9">
        <f>Assumptions!$B$5*Assumptions!$B$7*(1+Assumptions!$B$6)^8</f>
        <v/>
      </c>
      <c r="K4" s="9">
        <f>Assumptions!$B$5*Assumptions!$B$7*(1+Assumptions!$B$6)^9</f>
        <v/>
      </c>
      <c r="L4" s="9">
        <f>Assumptions!$B$5*Assumptions!$B$7*(1+Assumptions!$B$6)^10</f>
        <v/>
      </c>
      <c r="M4" s="9">
        <f>Assumptions!$B$5*Assumptions!$B$7*(1+Assumptions!$B$6)^11</f>
        <v/>
      </c>
      <c r="N4" s="20">
        <f>SUM(B4:M4)</f>
        <v/>
      </c>
    </row>
    <row r="5">
      <c r="A5" s="4" t="inlineStr">
        <is>
          <t>New paid clients</t>
        </is>
      </c>
      <c r="B5" s="9">
        <f>B4*Assumptions!$B$8</f>
        <v/>
      </c>
      <c r="C5" s="9">
        <f>C4*Assumptions!$B$8</f>
        <v/>
      </c>
      <c r="D5" s="9">
        <f>D4*Assumptions!$B$8</f>
        <v/>
      </c>
      <c r="E5" s="9">
        <f>E4*Assumptions!$B$8</f>
        <v/>
      </c>
      <c r="F5" s="9">
        <f>F4*Assumptions!$B$8</f>
        <v/>
      </c>
      <c r="G5" s="9">
        <f>G4*Assumptions!$B$8</f>
        <v/>
      </c>
      <c r="H5" s="9">
        <f>H4*Assumptions!$B$8</f>
        <v/>
      </c>
      <c r="I5" s="9">
        <f>I4*Assumptions!$B$8</f>
        <v/>
      </c>
      <c r="J5" s="9">
        <f>J4*Assumptions!$B$8</f>
        <v/>
      </c>
      <c r="K5" s="9">
        <f>K4*Assumptions!$B$8</f>
        <v/>
      </c>
      <c r="L5" s="9">
        <f>L4*Assumptions!$B$8</f>
        <v/>
      </c>
      <c r="M5" s="9">
        <f>M4*Assumptions!$B$8</f>
        <v/>
      </c>
      <c r="N5" s="20">
        <f>SUM(B5:M5)</f>
        <v/>
      </c>
    </row>
    <row r="6">
      <c r="A6" s="4" t="inlineStr">
        <is>
          <t xml:space="preserve">  of which Refresh</t>
        </is>
      </c>
      <c r="B6" s="9">
        <f>B5*(1-Assumptions!$B$9)</f>
        <v/>
      </c>
      <c r="C6" s="9">
        <f>C5*(1-Assumptions!$B$9)</f>
        <v/>
      </c>
      <c r="D6" s="9">
        <f>D5*(1-Assumptions!$B$9)</f>
        <v/>
      </c>
      <c r="E6" s="9">
        <f>E5*(1-Assumptions!$B$9)</f>
        <v/>
      </c>
      <c r="F6" s="9">
        <f>F5*(1-Assumptions!$B$9)</f>
        <v/>
      </c>
      <c r="G6" s="9">
        <f>G5*(1-Assumptions!$B$9)</f>
        <v/>
      </c>
      <c r="H6" s="9">
        <f>H5*(1-Assumptions!$B$9)</f>
        <v/>
      </c>
      <c r="I6" s="9">
        <f>I5*(1-Assumptions!$B$9)</f>
        <v/>
      </c>
      <c r="J6" s="9">
        <f>J5*(1-Assumptions!$B$9)</f>
        <v/>
      </c>
      <c r="K6" s="9">
        <f>K5*(1-Assumptions!$B$9)</f>
        <v/>
      </c>
      <c r="L6" s="9">
        <f>L5*(1-Assumptions!$B$9)</f>
        <v/>
      </c>
      <c r="M6" s="9">
        <f>M5*(1-Assumptions!$B$9)</f>
        <v/>
      </c>
      <c r="N6" s="20">
        <f>SUM(B6:M6)</f>
        <v/>
      </c>
    </row>
    <row r="7">
      <c r="A7" s="4" t="inlineStr">
        <is>
          <t xml:space="preserve">  of which Rebrand</t>
        </is>
      </c>
      <c r="B7" s="9">
        <f>B5*Assumptions!$B$9</f>
        <v/>
      </c>
      <c r="C7" s="9">
        <f>C5*Assumptions!$B$9</f>
        <v/>
      </c>
      <c r="D7" s="9">
        <f>D5*Assumptions!$B$9</f>
        <v/>
      </c>
      <c r="E7" s="9">
        <f>E5*Assumptions!$B$9</f>
        <v/>
      </c>
      <c r="F7" s="9">
        <f>F5*Assumptions!$B$9</f>
        <v/>
      </c>
      <c r="G7" s="9">
        <f>G5*Assumptions!$B$9</f>
        <v/>
      </c>
      <c r="H7" s="9">
        <f>H5*Assumptions!$B$9</f>
        <v/>
      </c>
      <c r="I7" s="9">
        <f>I5*Assumptions!$B$9</f>
        <v/>
      </c>
      <c r="J7" s="9">
        <f>J5*Assumptions!$B$9</f>
        <v/>
      </c>
      <c r="K7" s="9">
        <f>K5*Assumptions!$B$9</f>
        <v/>
      </c>
      <c r="L7" s="9">
        <f>L5*Assumptions!$B$9</f>
        <v/>
      </c>
      <c r="M7" s="9">
        <f>M5*Assumptions!$B$9</f>
        <v/>
      </c>
      <c r="N7" s="20">
        <f>SUM(B7:M7)</f>
        <v/>
      </c>
    </row>
    <row r="8">
      <c r="A8" s="4" t="inlineStr">
        <is>
          <t>Project revenue</t>
        </is>
      </c>
      <c r="B8" s="10">
        <f>B6*Assumptions!$B$10+B7*Assumptions!$B$11</f>
        <v/>
      </c>
      <c r="C8" s="10">
        <f>C6*Assumptions!$B$10+C7*Assumptions!$B$11</f>
        <v/>
      </c>
      <c r="D8" s="10">
        <f>D6*Assumptions!$B$10+D7*Assumptions!$B$11</f>
        <v/>
      </c>
      <c r="E8" s="10">
        <f>E6*Assumptions!$B$10+E7*Assumptions!$B$11</f>
        <v/>
      </c>
      <c r="F8" s="10">
        <f>F6*Assumptions!$B$10+F7*Assumptions!$B$11</f>
        <v/>
      </c>
      <c r="G8" s="10">
        <f>G6*Assumptions!$B$10+G7*Assumptions!$B$11</f>
        <v/>
      </c>
      <c r="H8" s="10">
        <f>H6*Assumptions!$B$10+H7*Assumptions!$B$11</f>
        <v/>
      </c>
      <c r="I8" s="10">
        <f>I6*Assumptions!$B$10+I7*Assumptions!$B$11</f>
        <v/>
      </c>
      <c r="J8" s="10">
        <f>J6*Assumptions!$B$10+J7*Assumptions!$B$11</f>
        <v/>
      </c>
      <c r="K8" s="10">
        <f>K6*Assumptions!$B$10+K7*Assumptions!$B$11</f>
        <v/>
      </c>
      <c r="L8" s="10">
        <f>L6*Assumptions!$B$10+L7*Assumptions!$B$11</f>
        <v/>
      </c>
      <c r="M8" s="10">
        <f>M6*Assumptions!$B$10+M7*Assumptions!$B$11</f>
        <v/>
      </c>
      <c r="N8" s="21">
        <f>SUM(B8:M8)</f>
        <v/>
      </c>
    </row>
    <row r="9">
      <c r="A9" s="4" t="inlineStr">
        <is>
          <t>Care clients at start</t>
        </is>
      </c>
      <c r="B9" s="9">
        <f>0</f>
        <v/>
      </c>
      <c r="C9" s="9">
        <f>B12</f>
        <v/>
      </c>
      <c r="D9" s="9">
        <f>C12</f>
        <v/>
      </c>
      <c r="E9" s="9">
        <f>D12</f>
        <v/>
      </c>
      <c r="F9" s="9">
        <f>E12</f>
        <v/>
      </c>
      <c r="G9" s="9">
        <f>F12</f>
        <v/>
      </c>
      <c r="H9" s="9">
        <f>G12</f>
        <v/>
      </c>
      <c r="I9" s="9">
        <f>H12</f>
        <v/>
      </c>
      <c r="J9" s="9">
        <f>I12</f>
        <v/>
      </c>
      <c r="K9" s="9">
        <f>J12</f>
        <v/>
      </c>
      <c r="L9" s="9">
        <f>K12</f>
        <v/>
      </c>
      <c r="M9" s="9">
        <f>L12</f>
        <v/>
      </c>
    </row>
    <row r="10">
      <c r="A10" s="4" t="inlineStr">
        <is>
          <t>New care clients</t>
        </is>
      </c>
      <c r="B10" s="9">
        <f>B5*Assumptions!$B$12</f>
        <v/>
      </c>
      <c r="C10" s="9">
        <f>C5*Assumptions!$B$12</f>
        <v/>
      </c>
      <c r="D10" s="9">
        <f>D5*Assumptions!$B$12</f>
        <v/>
      </c>
      <c r="E10" s="9">
        <f>E5*Assumptions!$B$12</f>
        <v/>
      </c>
      <c r="F10" s="9">
        <f>F5*Assumptions!$B$12</f>
        <v/>
      </c>
      <c r="G10" s="9">
        <f>G5*Assumptions!$B$12</f>
        <v/>
      </c>
      <c r="H10" s="9">
        <f>H5*Assumptions!$B$12</f>
        <v/>
      </c>
      <c r="I10" s="9">
        <f>I5*Assumptions!$B$12</f>
        <v/>
      </c>
      <c r="J10" s="9">
        <f>J5*Assumptions!$B$12</f>
        <v/>
      </c>
      <c r="K10" s="9">
        <f>K5*Assumptions!$B$12</f>
        <v/>
      </c>
      <c r="L10" s="9">
        <f>L5*Assumptions!$B$12</f>
        <v/>
      </c>
      <c r="M10" s="9">
        <f>M5*Assumptions!$B$12</f>
        <v/>
      </c>
      <c r="N10" s="20">
        <f>SUM(B10:M10)</f>
        <v/>
      </c>
    </row>
    <row r="11">
      <c r="A11" s="4" t="inlineStr">
        <is>
          <t>Care clients lost</t>
        </is>
      </c>
      <c r="B11" s="9">
        <f>B9*Assumptions!$B$14</f>
        <v/>
      </c>
      <c r="C11" s="9">
        <f>C9*Assumptions!$B$14</f>
        <v/>
      </c>
      <c r="D11" s="9">
        <f>D9*Assumptions!$B$14</f>
        <v/>
      </c>
      <c r="E11" s="9">
        <f>E9*Assumptions!$B$14</f>
        <v/>
      </c>
      <c r="F11" s="9">
        <f>F9*Assumptions!$B$14</f>
        <v/>
      </c>
      <c r="G11" s="9">
        <f>G9*Assumptions!$B$14</f>
        <v/>
      </c>
      <c r="H11" s="9">
        <f>H9*Assumptions!$B$14</f>
        <v/>
      </c>
      <c r="I11" s="9">
        <f>I9*Assumptions!$B$14</f>
        <v/>
      </c>
      <c r="J11" s="9">
        <f>J9*Assumptions!$B$14</f>
        <v/>
      </c>
      <c r="K11" s="9">
        <f>K9*Assumptions!$B$14</f>
        <v/>
      </c>
      <c r="L11" s="9">
        <f>L9*Assumptions!$B$14</f>
        <v/>
      </c>
      <c r="M11" s="9">
        <f>M9*Assumptions!$B$14</f>
        <v/>
      </c>
      <c r="N11" s="20">
        <f>SUM(B11:M11)</f>
        <v/>
      </c>
    </row>
    <row r="12">
      <c r="A12" s="4" t="inlineStr">
        <is>
          <t>Care clients at end</t>
        </is>
      </c>
      <c r="B12" s="9">
        <f>B9+B10-B11</f>
        <v/>
      </c>
      <c r="C12" s="9">
        <f>C9+C10-C11</f>
        <v/>
      </c>
      <c r="D12" s="9">
        <f>D9+D10-D11</f>
        <v/>
      </c>
      <c r="E12" s="9">
        <f>E9+E10-E11</f>
        <v/>
      </c>
      <c r="F12" s="9">
        <f>F9+F10-F11</f>
        <v/>
      </c>
      <c r="G12" s="9">
        <f>G9+G10-G11</f>
        <v/>
      </c>
      <c r="H12" s="9">
        <f>H9+H10-H11</f>
        <v/>
      </c>
      <c r="I12" s="9">
        <f>I9+I10-I11</f>
        <v/>
      </c>
      <c r="J12" s="9">
        <f>J9+J10-J11</f>
        <v/>
      </c>
      <c r="K12" s="9">
        <f>K9+K10-K11</f>
        <v/>
      </c>
      <c r="L12" s="9">
        <f>L9+L10-L11</f>
        <v/>
      </c>
      <c r="M12" s="9">
        <f>M9+M10-M11</f>
        <v/>
      </c>
    </row>
    <row r="13">
      <c r="A13" s="4" t="inlineStr">
        <is>
          <t>Care revenue</t>
        </is>
      </c>
      <c r="B13" s="10">
        <f>B9*Assumptions!$B$13</f>
        <v/>
      </c>
      <c r="C13" s="10">
        <f>C9*Assumptions!$B$13</f>
        <v/>
      </c>
      <c r="D13" s="10">
        <f>D9*Assumptions!$B$13</f>
        <v/>
      </c>
      <c r="E13" s="10">
        <f>E9*Assumptions!$B$13</f>
        <v/>
      </c>
      <c r="F13" s="10">
        <f>F9*Assumptions!$B$13</f>
        <v/>
      </c>
      <c r="G13" s="10">
        <f>G9*Assumptions!$B$13</f>
        <v/>
      </c>
      <c r="H13" s="10">
        <f>H9*Assumptions!$B$13</f>
        <v/>
      </c>
      <c r="I13" s="10">
        <f>I9*Assumptions!$B$13</f>
        <v/>
      </c>
      <c r="J13" s="10">
        <f>J9*Assumptions!$B$13</f>
        <v/>
      </c>
      <c r="K13" s="10">
        <f>K9*Assumptions!$B$13</f>
        <v/>
      </c>
      <c r="L13" s="10">
        <f>L9*Assumptions!$B$13</f>
        <v/>
      </c>
      <c r="M13" s="10">
        <f>M9*Assumptions!$B$13</f>
        <v/>
      </c>
      <c r="N13" s="21">
        <f>SUM(B13:M13)</f>
        <v/>
      </c>
    </row>
    <row r="14">
      <c r="A14" s="22" t="inlineStr">
        <is>
          <t>Total revenue</t>
        </is>
      </c>
      <c r="B14" s="23">
        <f>B8+B13</f>
        <v/>
      </c>
      <c r="C14" s="23">
        <f>C8+C13</f>
        <v/>
      </c>
      <c r="D14" s="23">
        <f>D8+D13</f>
        <v/>
      </c>
      <c r="E14" s="23">
        <f>E8+E13</f>
        <v/>
      </c>
      <c r="F14" s="23">
        <f>F8+F13</f>
        <v/>
      </c>
      <c r="G14" s="23">
        <f>G8+G13</f>
        <v/>
      </c>
      <c r="H14" s="23">
        <f>H8+H13</f>
        <v/>
      </c>
      <c r="I14" s="23">
        <f>I8+I13</f>
        <v/>
      </c>
      <c r="J14" s="23">
        <f>J8+J13</f>
        <v/>
      </c>
      <c r="K14" s="23">
        <f>K8+K13</f>
        <v/>
      </c>
      <c r="L14" s="23">
        <f>L8+L13</f>
        <v/>
      </c>
      <c r="M14" s="23">
        <f>M8+M13</f>
        <v/>
      </c>
      <c r="N14" s="24">
        <f>SUM(B14:M14)</f>
        <v/>
      </c>
    </row>
    <row r="15">
      <c r="A15" s="4" t="inlineStr">
        <is>
          <t>Card fees</t>
        </is>
      </c>
      <c r="B15" s="10">
        <f>B14*Assumptions!$B$19+(B5+B9)*Assumptions!$B$20</f>
        <v/>
      </c>
      <c r="C15" s="10">
        <f>C14*Assumptions!$B$19+(C5+C9)*Assumptions!$B$20</f>
        <v/>
      </c>
      <c r="D15" s="10">
        <f>D14*Assumptions!$B$19+(D5+D9)*Assumptions!$B$20</f>
        <v/>
      </c>
      <c r="E15" s="10">
        <f>E14*Assumptions!$B$19+(E5+E9)*Assumptions!$B$20</f>
        <v/>
      </c>
      <c r="F15" s="10">
        <f>F14*Assumptions!$B$19+(F5+F9)*Assumptions!$B$20</f>
        <v/>
      </c>
      <c r="G15" s="10">
        <f>G14*Assumptions!$B$19+(G5+G9)*Assumptions!$B$20</f>
        <v/>
      </c>
      <c r="H15" s="10">
        <f>H14*Assumptions!$B$19+(H5+H9)*Assumptions!$B$20</f>
        <v/>
      </c>
      <c r="I15" s="10">
        <f>I14*Assumptions!$B$19+(I5+I9)*Assumptions!$B$20</f>
        <v/>
      </c>
      <c r="J15" s="10">
        <f>J14*Assumptions!$B$19+(J5+J9)*Assumptions!$B$20</f>
        <v/>
      </c>
      <c r="K15" s="10">
        <f>K14*Assumptions!$B$19+(K5+K9)*Assumptions!$B$20</f>
        <v/>
      </c>
      <c r="L15" s="10">
        <f>L14*Assumptions!$B$19+(L5+L9)*Assumptions!$B$20</f>
        <v/>
      </c>
      <c r="M15" s="10">
        <f>M14*Assumptions!$B$19+(M5+M9)*Assumptions!$B$20</f>
        <v/>
      </c>
      <c r="N15" s="21">
        <f>SUM(B15:M15)</f>
        <v/>
      </c>
    </row>
    <row r="16">
      <c r="A16" s="4" t="inlineStr">
        <is>
          <t>Hosting + domains</t>
        </is>
      </c>
      <c r="B16" s="10">
        <f>B12*Assumptions!$B$21</f>
        <v/>
      </c>
      <c r="C16" s="10">
        <f>C12*Assumptions!$B$21</f>
        <v/>
      </c>
      <c r="D16" s="10">
        <f>D12*Assumptions!$B$21</f>
        <v/>
      </c>
      <c r="E16" s="10">
        <f>E12*Assumptions!$B$21</f>
        <v/>
      </c>
      <c r="F16" s="10">
        <f>F12*Assumptions!$B$21</f>
        <v/>
      </c>
      <c r="G16" s="10">
        <f>G12*Assumptions!$B$21</f>
        <v/>
      </c>
      <c r="H16" s="10">
        <f>H12*Assumptions!$B$21</f>
        <v/>
      </c>
      <c r="I16" s="10">
        <f>I12*Assumptions!$B$21</f>
        <v/>
      </c>
      <c r="J16" s="10">
        <f>J12*Assumptions!$B$21</f>
        <v/>
      </c>
      <c r="K16" s="10">
        <f>K12*Assumptions!$B$21</f>
        <v/>
      </c>
      <c r="L16" s="10">
        <f>L12*Assumptions!$B$21</f>
        <v/>
      </c>
      <c r="M16" s="10">
        <f>M12*Assumptions!$B$21</f>
        <v/>
      </c>
      <c r="N16" s="21">
        <f>SUM(B16:M16)</f>
        <v/>
      </c>
    </row>
    <row r="17">
      <c r="A17" s="4" t="inlineStr">
        <is>
          <t>Tools</t>
        </is>
      </c>
      <c r="B17" s="10">
        <f>Assumptions!$B$22</f>
        <v/>
      </c>
      <c r="C17" s="10">
        <f>Assumptions!$B$22</f>
        <v/>
      </c>
      <c r="D17" s="10">
        <f>Assumptions!$B$22</f>
        <v/>
      </c>
      <c r="E17" s="10">
        <f>Assumptions!$B$22</f>
        <v/>
      </c>
      <c r="F17" s="10">
        <f>Assumptions!$B$22</f>
        <v/>
      </c>
      <c r="G17" s="10">
        <f>Assumptions!$B$22</f>
        <v/>
      </c>
      <c r="H17" s="10">
        <f>Assumptions!$B$22</f>
        <v/>
      </c>
      <c r="I17" s="10">
        <f>Assumptions!$B$22</f>
        <v/>
      </c>
      <c r="J17" s="10">
        <f>Assumptions!$B$22</f>
        <v/>
      </c>
      <c r="K17" s="10">
        <f>Assumptions!$B$22</f>
        <v/>
      </c>
      <c r="L17" s="10">
        <f>Assumptions!$B$22</f>
        <v/>
      </c>
      <c r="M17" s="10">
        <f>Assumptions!$B$22</f>
        <v/>
      </c>
      <c r="N17" s="21">
        <f>SUM(B17:M17)</f>
        <v/>
      </c>
    </row>
    <row r="18">
      <c r="A18" s="4" t="inlineStr">
        <is>
          <t>Total costs</t>
        </is>
      </c>
      <c r="B18" s="10">
        <f>B15+B16+B17</f>
        <v/>
      </c>
      <c r="C18" s="10">
        <f>C15+C16+C17</f>
        <v/>
      </c>
      <c r="D18" s="10">
        <f>D15+D16+D17</f>
        <v/>
      </c>
      <c r="E18" s="10">
        <f>E15+E16+E17</f>
        <v/>
      </c>
      <c r="F18" s="10">
        <f>F15+F16+F17</f>
        <v/>
      </c>
      <c r="G18" s="10">
        <f>G15+G16+G17</f>
        <v/>
      </c>
      <c r="H18" s="10">
        <f>H15+H16+H17</f>
        <v/>
      </c>
      <c r="I18" s="10">
        <f>I15+I16+I17</f>
        <v/>
      </c>
      <c r="J18" s="10">
        <f>J15+J16+J17</f>
        <v/>
      </c>
      <c r="K18" s="10">
        <f>K15+K16+K17</f>
        <v/>
      </c>
      <c r="L18" s="10">
        <f>L15+L16+L17</f>
        <v/>
      </c>
      <c r="M18" s="10">
        <f>M15+M16+M17</f>
        <v/>
      </c>
      <c r="N18" s="21">
        <f>SUM(B18:M18)</f>
        <v/>
      </c>
    </row>
    <row r="19">
      <c r="A19" s="22" t="inlineStr">
        <is>
          <t>Profit</t>
        </is>
      </c>
      <c r="B19" s="23">
        <f>B14-B18</f>
        <v/>
      </c>
      <c r="C19" s="23">
        <f>C14-C18</f>
        <v/>
      </c>
      <c r="D19" s="23">
        <f>D14-D18</f>
        <v/>
      </c>
      <c r="E19" s="23">
        <f>E14-E18</f>
        <v/>
      </c>
      <c r="F19" s="23">
        <f>F14-F18</f>
        <v/>
      </c>
      <c r="G19" s="23">
        <f>G14-G18</f>
        <v/>
      </c>
      <c r="H19" s="23">
        <f>H14-H18</f>
        <v/>
      </c>
      <c r="I19" s="23">
        <f>I14-I18</f>
        <v/>
      </c>
      <c r="J19" s="23">
        <f>J14-J18</f>
        <v/>
      </c>
      <c r="K19" s="23">
        <f>K14-K18</f>
        <v/>
      </c>
      <c r="L19" s="23">
        <f>L14-L18</f>
        <v/>
      </c>
      <c r="M19" s="23">
        <f>M14-M18</f>
        <v/>
      </c>
      <c r="N19" s="24">
        <f>SUM(B19:M19)</f>
        <v/>
      </c>
    </row>
    <row r="20">
      <c r="A20" s="7" t="inlineStr">
        <is>
          <t>Cumulative profit</t>
        </is>
      </c>
      <c r="B20" s="10">
        <f>B19</f>
        <v/>
      </c>
      <c r="C20" s="10">
        <f>B20+C19</f>
        <v/>
      </c>
      <c r="D20" s="10">
        <f>C20+D19</f>
        <v/>
      </c>
      <c r="E20" s="10">
        <f>D20+E19</f>
        <v/>
      </c>
      <c r="F20" s="10">
        <f>E20+F19</f>
        <v/>
      </c>
      <c r="G20" s="10">
        <f>F20+G19</f>
        <v/>
      </c>
      <c r="H20" s="10">
        <f>G20+H19</f>
        <v/>
      </c>
      <c r="I20" s="10">
        <f>H20+I19</f>
        <v/>
      </c>
      <c r="J20" s="10">
        <f>I20+J19</f>
        <v/>
      </c>
      <c r="K20" s="10">
        <f>J20+K19</f>
        <v/>
      </c>
      <c r="L20" s="10">
        <f>K20+L19</f>
        <v/>
      </c>
      <c r="M20" s="10">
        <f>L20+M19</f>
        <v/>
      </c>
    </row>
    <row r="21">
      <c r="A21" s="4" t="inlineStr">
        <is>
          <t>Hours worked</t>
        </is>
      </c>
      <c r="B21" s="9">
        <f>B4*Assumptions!$B$15+B6*Assumptions!$B$16+B7*Assumptions!$B$17+B9*Assumptions!$B$18</f>
        <v/>
      </c>
      <c r="C21" s="9">
        <f>C4*Assumptions!$B$15+C6*Assumptions!$B$16+C7*Assumptions!$B$17+C9*Assumptions!$B$18</f>
        <v/>
      </c>
      <c r="D21" s="9">
        <f>D4*Assumptions!$B$15+D6*Assumptions!$B$16+D7*Assumptions!$B$17+D9*Assumptions!$B$18</f>
        <v/>
      </c>
      <c r="E21" s="9">
        <f>E4*Assumptions!$B$15+E6*Assumptions!$B$16+E7*Assumptions!$B$17+E9*Assumptions!$B$18</f>
        <v/>
      </c>
      <c r="F21" s="9">
        <f>F4*Assumptions!$B$15+F6*Assumptions!$B$16+F7*Assumptions!$B$17+F9*Assumptions!$B$18</f>
        <v/>
      </c>
      <c r="G21" s="9">
        <f>G4*Assumptions!$B$15+G6*Assumptions!$B$16+G7*Assumptions!$B$17+G9*Assumptions!$B$18</f>
        <v/>
      </c>
      <c r="H21" s="9">
        <f>H4*Assumptions!$B$15+H6*Assumptions!$B$16+H7*Assumptions!$B$17+H9*Assumptions!$B$18</f>
        <v/>
      </c>
      <c r="I21" s="9">
        <f>I4*Assumptions!$B$15+I6*Assumptions!$B$16+I7*Assumptions!$B$17+I9*Assumptions!$B$18</f>
        <v/>
      </c>
      <c r="J21" s="9">
        <f>J4*Assumptions!$B$15+J6*Assumptions!$B$16+J7*Assumptions!$B$17+J9*Assumptions!$B$18</f>
        <v/>
      </c>
      <c r="K21" s="9">
        <f>K4*Assumptions!$B$15+K6*Assumptions!$B$16+K7*Assumptions!$B$17+K9*Assumptions!$B$18</f>
        <v/>
      </c>
      <c r="L21" s="9">
        <f>L4*Assumptions!$B$15+L6*Assumptions!$B$16+L7*Assumptions!$B$17+L9*Assumptions!$B$18</f>
        <v/>
      </c>
      <c r="M21" s="9">
        <f>M4*Assumptions!$B$15+M6*Assumptions!$B$16+M7*Assumptions!$B$17+M9*Assumptions!$B$18</f>
        <v/>
      </c>
      <c r="N21" s="20">
        <f>SUM(B21:M21)</f>
        <v/>
      </c>
    </row>
    <row r="22">
      <c r="A22" s="4" t="inlineStr">
        <is>
          <t>Effective £ per hour</t>
        </is>
      </c>
      <c r="B22" s="10">
        <f>IF(B21&gt;0,B19/B21,0)</f>
        <v/>
      </c>
      <c r="C22" s="10">
        <f>IF(C21&gt;0,C19/C21,0)</f>
        <v/>
      </c>
      <c r="D22" s="10">
        <f>IF(D21&gt;0,D19/D21,0)</f>
        <v/>
      </c>
      <c r="E22" s="10">
        <f>IF(E21&gt;0,E19/E21,0)</f>
        <v/>
      </c>
      <c r="F22" s="10">
        <f>IF(F21&gt;0,F19/F21,0)</f>
        <v/>
      </c>
      <c r="G22" s="10">
        <f>IF(G21&gt;0,G19/G21,0)</f>
        <v/>
      </c>
      <c r="H22" s="10">
        <f>IF(H21&gt;0,H19/H21,0)</f>
        <v/>
      </c>
      <c r="I22" s="10">
        <f>IF(I21&gt;0,I19/I21,0)</f>
        <v/>
      </c>
      <c r="J22" s="10">
        <f>IF(J21&gt;0,J19/J21,0)</f>
        <v/>
      </c>
      <c r="K22" s="10">
        <f>IF(K21&gt;0,K19/K21,0)</f>
        <v/>
      </c>
      <c r="L22" s="10">
        <f>IF(L21&gt;0,L19/L21,0)</f>
        <v/>
      </c>
      <c r="M22" s="10">
        <f>IF(M21&gt;0,M19/M21,0)</f>
        <v/>
      </c>
      <c r="N22" s="21">
        <f>IF(N21&gt;0,N19/N21,0)</f>
        <v/>
      </c>
    </row>
    <row r="23">
      <c r="A23" s="4" t="inlineStr">
        <is>
          <t>Monthly recurring revenue (end)</t>
        </is>
      </c>
      <c r="B23" s="10">
        <f>B12*Assumptions!$B$13</f>
        <v/>
      </c>
      <c r="C23" s="10">
        <f>C12*Assumptions!$B$13</f>
        <v/>
      </c>
      <c r="D23" s="10">
        <f>D12*Assumptions!$B$13</f>
        <v/>
      </c>
      <c r="E23" s="10">
        <f>E12*Assumptions!$B$13</f>
        <v/>
      </c>
      <c r="F23" s="10">
        <f>F12*Assumptions!$B$13</f>
        <v/>
      </c>
      <c r="G23" s="10">
        <f>G12*Assumptions!$B$13</f>
        <v/>
      </c>
      <c r="H23" s="10">
        <f>H12*Assumptions!$B$13</f>
        <v/>
      </c>
      <c r="I23" s="10">
        <f>I12*Assumptions!$B$13</f>
        <v/>
      </c>
      <c r="J23" s="10">
        <f>J12*Assumptions!$B$13</f>
        <v/>
      </c>
      <c r="K23" s="10">
        <f>K12*Assumptions!$B$13</f>
        <v/>
      </c>
      <c r="L23" s="10">
        <f>L12*Assumptions!$B$13</f>
        <v/>
      </c>
      <c r="M23" s="10">
        <f>M12*Assumptions!$B$13</f>
        <v/>
      </c>
    </row>
    <row r="26">
      <c r="A26" s="11" t="inlineStr">
        <is>
          <t>Care revenue is billed on clients at the start of each month. Fractional clients are averages (expected values), not literal half-clients.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2026-09-28T05:48:38Z</dcterms:created>
  <dcterms:modified xsi:type="dcterms:W3CDTF">2026-09-28T05:48:38Z</dcterms:modified>
</cp:coreProperties>
</file>